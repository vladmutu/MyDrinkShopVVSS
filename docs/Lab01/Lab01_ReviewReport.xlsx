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D:\UBB-FMI\UBB-FMI\An III\Sem II\VVSS\Lab\MyDrinkShop\MyDrinkShop\docs\Lab01\"/>
    </mc:Choice>
  </mc:AlternateContent>
  <xr:revisionPtr revIDLastSave="0" documentId="13_ncr:1_{F007C9CA-5EF1-4808-834A-2E7FB353C69C}" xr6:coauthVersionLast="47" xr6:coauthVersionMax="47" xr10:uidLastSave="{00000000-0000-0000-0000-000000000000}"/>
  <bookViews>
    <workbookView xWindow="28680" yWindow="-120" windowWidth="29040" windowHeight="15720" tabRatio="650" activeTab="3" xr2:uid="{00000000-000D-0000-FFFF-FFFF00000000}"/>
  </bookViews>
  <sheets>
    <sheet name="Requirements Phase Defects" sheetId="7" r:id="rId1"/>
    <sheet name="Architect. Design Phase Defects" sheetId="6" r:id="rId2"/>
    <sheet name="Coding Phase Defects" sheetId="5" r:id="rId3"/>
    <sheet name="Tool-basedCodeAnalysi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8" l="1"/>
  <c r="B12" i="8" s="1"/>
  <c r="B13" i="8" s="1"/>
  <c r="B14" i="8" s="1"/>
  <c r="B15" i="8" s="1"/>
  <c r="B16" i="8" s="1"/>
  <c r="B17" i="8" s="1"/>
  <c r="B18" i="8" s="1"/>
  <c r="B19" i="8" s="1"/>
  <c r="B20" i="8" s="1"/>
  <c r="B21" i="8" s="1"/>
  <c r="B22" i="8" s="1"/>
  <c r="B23" i="8" s="1"/>
  <c r="B24" i="8" s="1"/>
  <c r="B25" i="8" s="1"/>
  <c r="B26" i="8" s="1"/>
  <c r="B27" i="8" s="1"/>
  <c r="B28" i="8" s="1"/>
  <c r="B29" i="8" s="1"/>
  <c r="B30" i="8" s="1"/>
  <c r="B11" i="6" l="1"/>
  <c r="B12" i="6" s="1"/>
  <c r="B13" i="6" s="1"/>
  <c r="B14" i="6" s="1"/>
  <c r="B15" i="6" s="1"/>
  <c r="B16" i="6" s="1"/>
  <c r="B17" i="6" s="1"/>
  <c r="B18" i="6" s="1"/>
  <c r="B19" i="6" s="1"/>
  <c r="B20" i="6" s="1"/>
  <c r="B21" i="6" s="1"/>
  <c r="B22" i="6" s="1"/>
  <c r="B23" i="6" s="1"/>
  <c r="B24" i="6" s="1"/>
  <c r="B25" i="6" s="1"/>
  <c r="B26" i="6" s="1"/>
  <c r="B11" i="5"/>
  <c r="B12" i="5" s="1"/>
  <c r="B13" i="5" s="1"/>
  <c r="B14" i="5" s="1"/>
  <c r="B15" i="5" s="1"/>
  <c r="B16" i="5" s="1"/>
  <c r="B17" i="5" s="1"/>
  <c r="B18" i="5" s="1"/>
  <c r="B19" i="5" s="1"/>
  <c r="B20" i="5" s="1"/>
  <c r="B21" i="5" s="1"/>
  <c r="B22" i="5" s="1"/>
  <c r="B23" i="5" s="1"/>
  <c r="B24" i="5" s="1"/>
  <c r="B25" i="5" s="1"/>
  <c r="B26" i="5" s="1"/>
  <c r="B27" i="5" s="1"/>
  <c r="B28" i="5" s="1"/>
  <c r="B29" i="5" s="1"/>
  <c r="B30" i="5" s="1"/>
  <c r="B14" i="7" l="1"/>
  <c r="B15" i="7" s="1"/>
  <c r="B16" i="7" s="1"/>
  <c r="B17" i="7" s="1"/>
  <c r="B18" i="7" s="1"/>
  <c r="B19" i="7" s="1"/>
  <c r="B20" i="7" s="1"/>
  <c r="B21" i="7" s="1"/>
  <c r="B22" i="7" s="1"/>
  <c r="B23" i="7" s="1"/>
</calcChain>
</file>

<file path=xl/sharedStrings.xml><?xml version="1.0" encoding="utf-8"?>
<sst xmlns="http://schemas.openxmlformats.org/spreadsheetml/2006/main" count="171" uniqueCount="112">
  <si>
    <t>Document  Title:</t>
  </si>
  <si>
    <t xml:space="preserve">Review date: </t>
  </si>
  <si>
    <t>Reviewer Name:</t>
  </si>
  <si>
    <t>do not print this form</t>
  </si>
  <si>
    <t>Crt. No.</t>
  </si>
  <si>
    <t>Checked Item</t>
  </si>
  <si>
    <t>Doc. page/line</t>
  </si>
  <si>
    <t>Comments/ improvements</t>
  </si>
  <si>
    <t>Effort to review document (hours):</t>
  </si>
  <si>
    <t>Author Name:</t>
  </si>
  <si>
    <t xml:space="preserve">Author Name: </t>
  </si>
  <si>
    <t>Popescu Ionel</t>
  </si>
  <si>
    <t>Georgescu Anca</t>
  </si>
  <si>
    <t>Firicescu George</t>
  </si>
  <si>
    <t>Requirements Document</t>
  </si>
  <si>
    <t>Architectural Design Document</t>
  </si>
  <si>
    <t>Coding Document</t>
  </si>
  <si>
    <t>Review Form. Coding Defects</t>
  </si>
  <si>
    <t>Review Form. Architectural Design Defects</t>
  </si>
  <si>
    <t>Review Form. Requirements Defects</t>
  </si>
  <si>
    <t>Student 1:</t>
  </si>
  <si>
    <t>Student 2:</t>
  </si>
  <si>
    <t>Student 3:</t>
  </si>
  <si>
    <t>Echipa</t>
  </si>
  <si>
    <t>Grupa</t>
  </si>
  <si>
    <t>Tool used:</t>
  </si>
  <si>
    <t>Before</t>
  </si>
  <si>
    <t>Issue</t>
  </si>
  <si>
    <t>File, Line</t>
  </si>
  <si>
    <t>After/Argument</t>
  </si>
  <si>
    <t>Numele si prenumele</t>
  </si>
  <si>
    <t>Tool-based Code Analysis</t>
  </si>
  <si>
    <t>Effort to perform tool-based code analysis (hours):</t>
  </si>
  <si>
    <t>Sonar Qube</t>
  </si>
  <si>
    <t>Mutu Vlad</t>
  </si>
  <si>
    <t>14.03.2026</t>
  </si>
  <si>
    <t>Munteanu Mihai</t>
  </si>
  <si>
    <t>Moghioros Eric</t>
  </si>
  <si>
    <t>R01</t>
  </si>
  <si>
    <t>Nu este specificat ce se intampla cand nu mai este stoc disponibil</t>
  </si>
  <si>
    <t>R04</t>
  </si>
  <si>
    <t>Prima rulare nedefinita, fara date initiale, fara tratarea fisierelor lipsa</t>
  </si>
  <si>
    <t>R05</t>
  </si>
  <si>
    <t>C01 (Decision logic is erroneous or inadequate)</t>
  </si>
  <si>
    <t>C06 (Errors in preparing or processing input data)</t>
  </si>
  <si>
    <t>C08 (Error message processing errors exist)</t>
  </si>
  <si>
    <t>Moghiros Eric</t>
  </si>
  <si>
    <t>30 min</t>
  </si>
  <si>
    <t>Mutu Vlad, Munteanu Mihai, Moghioros Eric</t>
  </si>
  <si>
    <t>A05</t>
  </si>
  <si>
    <t>A08</t>
  </si>
  <si>
    <t>Pag1/CNF3</t>
  </si>
  <si>
    <t>Pag1/CF6</t>
  </si>
  <si>
    <r>
      <rPr>
        <sz val="11"/>
        <color rgb="FF000000"/>
        <rFont val="Calibri"/>
        <family val="2"/>
        <scheme val="minor"/>
      </rPr>
      <t>Desi in stratul de servicii exista o exceptie personalizata (</t>
    </r>
    <r>
      <rPr>
        <i/>
        <sz val="11"/>
        <color rgb="FFFF0000"/>
        <rFont val="Calibri"/>
        <family val="2"/>
        <scheme val="minor"/>
      </rPr>
      <t>ValidationException</t>
    </r>
    <r>
      <rPr>
        <sz val="11"/>
        <color rgb="FF000000"/>
        <rFont val="Calibri"/>
        <family val="2"/>
        <scheme val="minor"/>
      </rPr>
      <t>) si mai multe clase de validare (</t>
    </r>
    <r>
      <rPr>
        <i/>
        <sz val="11"/>
        <color rgb="FFFF0000"/>
        <rFont val="Calibri"/>
        <family val="2"/>
        <scheme val="minor"/>
      </rPr>
      <t>OrderValidator</t>
    </r>
    <r>
      <rPr>
        <sz val="11"/>
        <color rgb="FF000000"/>
        <rFont val="Calibri"/>
        <family val="2"/>
        <scheme val="minor"/>
      </rPr>
      <t xml:space="preserve">, </t>
    </r>
    <r>
      <rPr>
        <i/>
        <sz val="11"/>
        <color rgb="FFFF0000"/>
        <rFont val="Calibri"/>
        <family val="2"/>
        <scheme val="minor"/>
      </rPr>
      <t>ProductValidator</t>
    </r>
    <r>
      <rPr>
        <sz val="11"/>
        <color rgb="FF000000"/>
        <rFont val="Calibri"/>
        <family val="2"/>
        <scheme val="minor"/>
      </rPr>
      <t xml:space="preserve"> etc.), stratului UI ii lipseste mecanismul adecvat pentru a le gestiona elegant. </t>
    </r>
    <r>
      <rPr>
        <i/>
        <sz val="11"/>
        <color rgb="FFFF0000"/>
        <rFont val="Calibri"/>
        <family val="2"/>
        <scheme val="minor"/>
      </rPr>
      <t>DrinkShopController</t>
    </r>
    <r>
      <rPr>
        <sz val="11"/>
        <color rgb="FF000000"/>
        <rFont val="Calibri"/>
        <family val="2"/>
        <scheme val="minor"/>
      </rPr>
      <t xml:space="preserve"> nu utilizeaza blocuri try-catch in jurul apelurilor de service pentru a intercepta aceste exceptii si a le afisa prin metoda </t>
    </r>
    <r>
      <rPr>
        <i/>
        <sz val="11"/>
        <color rgb="FFFF0000"/>
        <rFont val="Calibri"/>
        <family val="2"/>
        <scheme val="minor"/>
      </rPr>
      <t>showError</t>
    </r>
    <r>
      <rPr>
        <sz val="11"/>
        <color rgb="FF000000"/>
        <rFont val="Calibri"/>
        <family val="2"/>
        <scheme val="minor"/>
      </rPr>
      <t>, ceea ce poate duce la intreruperea brusca a aplicatiei in cazul unor erori netratate.</t>
    </r>
  </si>
  <si>
    <t>20 min</t>
  </si>
  <si>
    <t>Desi numele claselor sunt precise, codul sursa nu are aproape deloc descrieri la nivel de clasa (comentarii JavaDoc) care sa documenteze formal responsabilitatile, comportamentele asteptate sau efectele secundare ale claselor si ale metodelor publice.</t>
  </si>
  <si>
    <t>Pag1/CF8</t>
  </si>
  <si>
    <t>Nu este specificat cand stie sistemul ca o zi s-a incheiat</t>
  </si>
  <si>
    <t>in CsvExporter și ReceiptGenerator, produsele se gasesc astfel: .toList().get(0). Daca produsul dintr-o comanda a fost sters anterior din ProductRepository, acest cod arunca o exceptie IndexOutOfBoundsException</t>
  </si>
  <si>
    <t>Pag1/CF1</t>
  </si>
  <si>
    <t>in clasa DrinkShopService metoda comandaProdus arunca o excepție   IllegalStateException("Stoc insuficient pentru produsul: " + produs.getNume()), dar nu e prinsa de vreun try-catch</t>
  </si>
  <si>
    <t>Pag1/cf5</t>
  </si>
  <si>
    <t>pag1/cf7</t>
  </si>
  <si>
    <t>Nu este specificat cum poti actualiza un produs(care sunt fieldurile lui)</t>
  </si>
  <si>
    <t>pag1/introducere</t>
  </si>
  <si>
    <t>R07</t>
  </si>
  <si>
    <t>Pag1/CNF1</t>
  </si>
  <si>
    <t>OrderService,35</t>
  </si>
  <si>
    <t>Versiunea de Java nu e mentionata</t>
  </si>
  <si>
    <t>Sections of code should not be commented out</t>
  </si>
  <si>
    <t>//        return StreamSupport.stream(orderRepo.findAll().spliterator(), false)
//                .collect(Collectors.toList());</t>
  </si>
  <si>
    <t>return orderRepo.findAll();</t>
  </si>
  <si>
    <t>Pag1/CNF5 Pag1/CNF6</t>
  </si>
  <si>
    <t>RetetaValidator,23</t>
  </si>
  <si>
    <t>Null pointers should not be dereferenced</t>
  </si>
  <si>
    <t>Pag1/CNF6</t>
  </si>
  <si>
    <t>ingrediente.stream()</t>
  </si>
  <si>
    <t>A10</t>
  </si>
  <si>
    <t>RetetaValidator,26</t>
  </si>
  <si>
    <t>Lambdas containing only one statement should not nest this statement in a block</t>
  </si>
  <si>
    <t>.forEach(entry -&gt; {
                        errors.accumulateAndGet("[" + entry.getDenumire() + "]"+ "cantitate negativa sau zero", String::concat);
                    });</t>
  </si>
  <si>
    <t>nu modific, ajuta la formatare</t>
  </si>
  <si>
    <r>
      <rPr>
        <sz val="11"/>
        <color rgb="FF000000"/>
        <rFont val="Calibri"/>
        <family val="2"/>
        <scheme val="minor"/>
      </rPr>
      <t>In codul actual, legatura dintre stoc si procesul de finalizare a comenzii din UI (</t>
    </r>
    <r>
      <rPr>
        <i/>
        <sz val="11"/>
        <color rgb="FFFF0000"/>
        <rFont val="Calibri"/>
        <family val="2"/>
        <scheme val="minor"/>
      </rPr>
      <t>onFinalizeOrder</t>
    </r>
    <r>
      <rPr>
        <sz val="11"/>
        <color rgb="FF000000"/>
        <rFont val="Calibri"/>
        <family val="2"/>
        <scheme val="minor"/>
      </rPr>
      <t>) nu apeleaza explicit metoda de consum a stocului (</t>
    </r>
    <r>
      <rPr>
        <i/>
        <sz val="11"/>
        <color rgb="FFFF0000"/>
        <rFont val="Calibri"/>
        <family val="2"/>
        <scheme val="minor"/>
      </rPr>
      <t>stocService.consuma</t>
    </r>
    <r>
      <rPr>
        <sz val="11"/>
        <color rgb="FF000000"/>
        <rFont val="Calibri"/>
        <family val="2"/>
        <scheme val="minor"/>
      </rPr>
      <t xml:space="preserve">) din </t>
    </r>
    <r>
      <rPr>
        <i/>
        <sz val="11"/>
        <color rgb="FFFF0000"/>
        <rFont val="Calibri"/>
        <family val="2"/>
        <scheme val="minor"/>
      </rPr>
      <t>DrinkShopService</t>
    </r>
    <r>
      <rPr>
        <sz val="11"/>
        <color rgb="FF000000"/>
        <rFont val="Calibri"/>
        <family val="2"/>
        <scheme val="minor"/>
      </rPr>
      <t>.</t>
    </r>
  </si>
  <si>
    <t>ProductService,31</t>
  </si>
  <si>
    <t>Pag1/CF7</t>
  </si>
  <si>
    <t>e comentat</t>
  </si>
  <si>
    <t xml:space="preserve">lasam doar .findAll(),mai scurt </t>
  </si>
  <si>
    <t>A03</t>
  </si>
  <si>
    <t>ProductService,42</t>
  </si>
  <si>
    <t>ProductService, 49</t>
  </si>
  <si>
    <t>Stream.toList() method should be used instead of "collectors" when unmodifiable list needed</t>
  </si>
  <si>
    <t>"Stream.toList()" method should be used instead of "collectors" when unmodifiable list needed</t>
  </si>
  <si>
    <t>Collectors.toList()</t>
  </si>
  <si>
    <r>
      <rPr>
        <sz val="11"/>
        <color rgb="FF000000"/>
        <rFont val="Calibri"/>
        <family val="2"/>
        <scheme val="minor"/>
      </rPr>
      <t xml:space="preserve">Desi majoritatea sunt acoperite, cerinta functionala nr. 3 specifica posibilitatea utilizatorului de a adauga/modifica/sterge tipuri si categorii de bauturi. In </t>
    </r>
    <r>
      <rPr>
        <i/>
        <sz val="11"/>
        <color rgb="FFFF0000"/>
        <rFont val="Calibri"/>
        <family val="2"/>
        <scheme val="minor"/>
      </rPr>
      <t>DrinkShopController.java</t>
    </r>
    <r>
      <rPr>
        <sz val="11"/>
        <color rgb="FF000000"/>
        <rFont val="Calibri"/>
        <family val="2"/>
        <scheme val="minor"/>
      </rPr>
      <t xml:space="preserve">, aceste valori sunt preluate direct din </t>
    </r>
    <r>
      <rPr>
        <i/>
        <sz val="11"/>
        <color rgb="FFFF0000"/>
        <rFont val="Calibri"/>
        <family val="2"/>
        <scheme val="minor"/>
      </rPr>
      <t>Enums</t>
    </r>
    <r>
      <rPr>
        <sz val="11"/>
        <color rgb="FF000000"/>
        <rFont val="Calibri"/>
        <family val="2"/>
        <scheme val="minor"/>
      </rPr>
      <t xml:space="preserve"> (</t>
    </r>
    <r>
      <rPr>
        <i/>
        <sz val="11"/>
        <color rgb="FFFF0000"/>
        <rFont val="Calibri"/>
        <family val="2"/>
        <scheme val="minor"/>
      </rPr>
      <t>CategorieBautura.values()</t>
    </r>
    <r>
      <rPr>
        <sz val="11"/>
        <color rgb="FF000000"/>
        <rFont val="Calibri"/>
        <family val="2"/>
        <scheme val="minor"/>
      </rPr>
      <t>), fara a exista o interfata de gestiune pentru ele.</t>
    </r>
  </si>
  <si>
    <t>Pag1/CF3</t>
  </si>
  <si>
    <t>.toList()</t>
  </si>
  <si>
    <t>R02</t>
  </si>
  <si>
    <t>Nu exista cerinte legate de fluxurile de eroare</t>
  </si>
  <si>
    <t>Pag1/CF9</t>
  </si>
  <si>
    <t>50 min</t>
  </si>
  <si>
    <t>metoda service.comandaProdus()  nu este apelata niciodata. Nu se consuma stocul</t>
  </si>
  <si>
    <t>C02</t>
  </si>
  <si>
    <t>ramificatiile sunt construite corect</t>
  </si>
  <si>
    <t>C03</t>
  </si>
  <si>
    <t>nu este cazul N/A</t>
  </si>
  <si>
    <t>C04</t>
  </si>
  <si>
    <t>Nu exista try-catch in filerepo pentru numere double, si pot aparea erori de tipul NumberFormatException</t>
  </si>
  <si>
    <t xml:space="preserve">C05 (Subprogram invocations are violated.) </t>
  </si>
  <si>
    <t>pag1/cnf6</t>
  </si>
  <si>
    <t>Nu exista try-catch in controller pentru prinderea erorilor de validare</t>
  </si>
  <si>
    <t>C11 (Errors are made in writing out variable names.)</t>
  </si>
  <si>
    <t>Denumirile variabilelor nu sunt consecvente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</si>
</sst>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000080"/>
      <name val="Calibri"/>
      <family val="2"/>
      <scheme val="minor"/>
    </font>
    <font>
      <i/>
      <sz val="9"/>
      <color rgb="FFC00000"/>
      <name val="Calibri"/>
      <family val="2"/>
      <scheme val="minor"/>
    </font>
    <font>
      <b/>
      <i/>
      <sz val="11"/>
      <color theme="1"/>
      <name val="Calibri"/>
      <family val="2"/>
      <scheme val="minor"/>
    </font>
    <font>
      <sz val="11"/>
      <color rgb="FF000000"/>
      <name val="Calibri"/>
    </font>
    <font>
      <i/>
      <sz val="11"/>
      <color rgb="FF000000"/>
      <name val="Calibri"/>
    </font>
    <font>
      <i/>
      <sz val="11"/>
      <color theme="1"/>
      <name val="Calibri"/>
      <family val="2"/>
      <charset val="238"/>
      <scheme val="minor"/>
    </font>
    <font>
      <i/>
      <sz val="11"/>
      <color rgb="FF000000"/>
      <name val="Calibri"/>
      <family val="2"/>
      <scheme val="minor"/>
    </font>
    <font>
      <sz val="11"/>
      <color rgb="FF000000"/>
      <name val="Calibri"/>
      <family val="2"/>
      <scheme val="minor"/>
    </font>
    <font>
      <i/>
      <sz val="11"/>
      <color rgb="FFFF0000"/>
      <name val="Calibri"/>
      <family val="2"/>
      <scheme val="minor"/>
    </font>
    <font>
      <sz val="10.5"/>
      <name val="JetBrains Mono"/>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3">
    <xf numFmtId="0" fontId="0" fillId="0" borderId="0" xfId="0"/>
    <xf numFmtId="0" fontId="8" fillId="0" borderId="1" xfId="0" applyFont="1" applyBorder="1"/>
    <xf numFmtId="0" fontId="8" fillId="0" borderId="1" xfId="0" applyFont="1" applyBorder="1" applyAlignment="1">
      <alignment wrapText="1"/>
    </xf>
    <xf numFmtId="0" fontId="6" fillId="0" borderId="1" xfId="0" applyFont="1" applyBorder="1"/>
    <xf numFmtId="0" fontId="9" fillId="0" borderId="0" xfId="0" applyFont="1"/>
    <xf numFmtId="0" fontId="10" fillId="0" borderId="0" xfId="0" applyFont="1"/>
    <xf numFmtId="0" fontId="6" fillId="0" borderId="0" xfId="0" applyFont="1"/>
    <xf numFmtId="0" fontId="7" fillId="3" borderId="1" xfId="0" applyFont="1" applyFill="1" applyBorder="1"/>
    <xf numFmtId="0" fontId="7" fillId="0" borderId="0" xfId="0" applyFont="1"/>
    <xf numFmtId="0" fontId="7" fillId="0" borderId="1" xfId="0" applyFont="1" applyBorder="1"/>
    <xf numFmtId="0" fontId="7" fillId="0" borderId="1" xfId="0" applyFont="1" applyBorder="1" applyAlignment="1">
      <alignment horizontal="center" vertical="center"/>
    </xf>
    <xf numFmtId="0" fontId="7" fillId="0" borderId="2" xfId="0" applyFont="1" applyBorder="1"/>
    <xf numFmtId="0" fontId="7" fillId="0" borderId="3" xfId="0" applyFont="1" applyBorder="1"/>
    <xf numFmtId="0" fontId="7" fillId="2" borderId="1" xfId="0" applyFont="1" applyFill="1" applyBorder="1"/>
    <xf numFmtId="0" fontId="7" fillId="0" borderId="1" xfId="0" applyFont="1" applyBorder="1" applyAlignment="1">
      <alignment horizontal="center" vertical="center" wrapText="1"/>
    </xf>
    <xf numFmtId="0" fontId="6" fillId="0" borderId="1" xfId="0" applyFont="1" applyBorder="1" applyAlignment="1">
      <alignment wrapText="1"/>
    </xf>
    <xf numFmtId="0" fontId="7" fillId="4" borderId="1" xfId="0" applyFont="1" applyFill="1" applyBorder="1"/>
    <xf numFmtId="0" fontId="5" fillId="0" borderId="1" xfId="0" applyFont="1" applyBorder="1"/>
    <xf numFmtId="0" fontId="8" fillId="0" borderId="0" xfId="0" applyFont="1"/>
    <xf numFmtId="0" fontId="4" fillId="0" borderId="1" xfId="0" applyFont="1" applyBorder="1"/>
    <xf numFmtId="0" fontId="3" fillId="0" borderId="0" xfId="0" applyFont="1"/>
    <xf numFmtId="0" fontId="2" fillId="0" borderId="0" xfId="0" applyFont="1"/>
    <xf numFmtId="0" fontId="12" fillId="0" borderId="1" xfId="0" applyFont="1" applyBorder="1"/>
    <xf numFmtId="0" fontId="13" fillId="0" borderId="4" xfId="0" applyFont="1" applyBorder="1"/>
    <xf numFmtId="0" fontId="13" fillId="0" borderId="4" xfId="0" applyFont="1" applyBorder="1" applyAlignment="1">
      <alignment wrapText="1"/>
    </xf>
    <xf numFmtId="0" fontId="12" fillId="0" borderId="6" xfId="0" applyFont="1" applyBorder="1"/>
    <xf numFmtId="0" fontId="13" fillId="0" borderId="7" xfId="0" applyFont="1" applyBorder="1"/>
    <xf numFmtId="0" fontId="13" fillId="0" borderId="7" xfId="0" applyFont="1" applyBorder="1" applyAlignment="1">
      <alignment wrapText="1"/>
    </xf>
    <xf numFmtId="0" fontId="0" fillId="0" borderId="1" xfId="0" applyBorder="1"/>
    <xf numFmtId="0" fontId="14" fillId="0" borderId="1" xfId="0" applyFont="1" applyBorder="1" applyAlignment="1">
      <alignment wrapText="1"/>
    </xf>
    <xf numFmtId="0" fontId="14" fillId="0" borderId="1" xfId="0" applyFont="1" applyBorder="1"/>
    <xf numFmtId="0" fontId="15" fillId="0" borderId="0" xfId="0" applyFont="1"/>
    <xf numFmtId="0" fontId="0" fillId="0" borderId="8" xfId="0" applyBorder="1" applyAlignment="1">
      <alignment wrapText="1"/>
    </xf>
    <xf numFmtId="0" fontId="18" fillId="0" borderId="0" xfId="0" applyFont="1" applyAlignment="1">
      <alignment vertical="center"/>
    </xf>
    <xf numFmtId="0" fontId="8" fillId="0" borderId="2" xfId="0" applyFont="1" applyBorder="1"/>
    <xf numFmtId="0" fontId="8" fillId="0" borderId="2" xfId="0" applyFont="1" applyBorder="1" applyAlignment="1">
      <alignment wrapText="1"/>
    </xf>
    <xf numFmtId="0" fontId="0" fillId="0" borderId="9" xfId="0" applyBorder="1" applyAlignment="1">
      <alignment wrapText="1"/>
    </xf>
    <xf numFmtId="0" fontId="8" fillId="0" borderId="6" xfId="0" applyFont="1" applyBorder="1" applyAlignment="1">
      <alignment wrapText="1"/>
    </xf>
    <xf numFmtId="0" fontId="0" fillId="0" borderId="8" xfId="0" applyBorder="1"/>
    <xf numFmtId="0" fontId="7" fillId="0" borderId="1" xfId="0" applyFont="1" applyBorder="1" applyAlignment="1">
      <alignment horizontal="right"/>
    </xf>
    <xf numFmtId="0" fontId="5" fillId="0" borderId="1" xfId="0" applyFont="1" applyBorder="1" applyAlignment="1">
      <alignment horizontal="center"/>
    </xf>
    <xf numFmtId="0" fontId="7" fillId="0" borderId="0" xfId="0" applyFont="1" applyAlignment="1">
      <alignment horizontal="center"/>
    </xf>
    <xf numFmtId="0" fontId="7" fillId="2" borderId="1" xfId="0" applyFont="1" applyFill="1" applyBorder="1" applyAlignment="1">
      <alignment horizontal="right"/>
    </xf>
    <xf numFmtId="0" fontId="11" fillId="2" borderId="2" xfId="0" applyFont="1" applyFill="1" applyBorder="1" applyAlignment="1">
      <alignment horizontal="right"/>
    </xf>
    <xf numFmtId="0" fontId="7" fillId="3" borderId="1" xfId="0" applyFont="1" applyFill="1" applyBorder="1" applyAlignment="1">
      <alignment horizontal="right"/>
    </xf>
    <xf numFmtId="0" fontId="11" fillId="3" borderId="2" xfId="0" applyFont="1" applyFill="1" applyBorder="1" applyAlignment="1">
      <alignment horizontal="right"/>
    </xf>
    <xf numFmtId="0" fontId="11" fillId="3" borderId="4" xfId="0" applyFont="1" applyFill="1" applyBorder="1" applyAlignment="1">
      <alignment horizontal="right"/>
    </xf>
    <xf numFmtId="0" fontId="7" fillId="4" borderId="1" xfId="0" applyFont="1" applyFill="1" applyBorder="1" applyAlignment="1">
      <alignment horizontal="right"/>
    </xf>
    <xf numFmtId="0" fontId="11" fillId="4" borderId="2" xfId="0" applyFont="1" applyFill="1" applyBorder="1" applyAlignment="1">
      <alignment horizontal="right"/>
    </xf>
    <xf numFmtId="0" fontId="11" fillId="4" borderId="4" xfId="0" applyFont="1" applyFill="1" applyBorder="1" applyAlignment="1">
      <alignment horizontal="right"/>
    </xf>
    <xf numFmtId="0" fontId="7" fillId="0" borderId="5" xfId="0" applyFont="1" applyBorder="1" applyAlignment="1">
      <alignment horizontal="left"/>
    </xf>
    <xf numFmtId="0" fontId="7" fillId="0" borderId="0" xfId="0" applyFont="1" applyAlignment="1">
      <alignment horizontal="left"/>
    </xf>
    <xf numFmtId="0" fontId="1"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J25"/>
  <sheetViews>
    <sheetView workbookViewId="0">
      <selection activeCell="C16" sqref="C16"/>
    </sheetView>
  </sheetViews>
  <sheetFormatPr defaultColWidth="8.85546875" defaultRowHeight="15"/>
  <cols>
    <col min="1" max="1" width="8.85546875" style="6"/>
    <col min="2" max="2" width="12.28515625" style="6" customWidth="1"/>
    <col min="3" max="4" width="16.28515625" style="6" customWidth="1"/>
    <col min="5" max="5" width="41.42578125" style="6" customWidth="1"/>
    <col min="6" max="8" width="8.85546875" style="6"/>
    <col min="9" max="9" width="21" style="6" customWidth="1"/>
    <col min="10" max="10" width="14.42578125" style="6" customWidth="1"/>
    <col min="11" max="16384" width="8.85546875" style="6"/>
  </cols>
  <sheetData>
    <row r="1" spans="1:10" ht="15.75">
      <c r="A1" s="4"/>
      <c r="B1" s="5" t="s">
        <v>3</v>
      </c>
      <c r="H1" s="40" t="s">
        <v>23</v>
      </c>
      <c r="I1" s="40"/>
      <c r="J1" s="40"/>
    </row>
    <row r="2" spans="1:10">
      <c r="B2" s="41" t="s">
        <v>19</v>
      </c>
      <c r="C2" s="41"/>
      <c r="D2" s="41"/>
      <c r="E2" s="41"/>
      <c r="H2" s="3"/>
      <c r="I2" s="19" t="s">
        <v>30</v>
      </c>
      <c r="J2" s="17" t="s">
        <v>24</v>
      </c>
    </row>
    <row r="3" spans="1:10">
      <c r="H3" s="17" t="s">
        <v>20</v>
      </c>
      <c r="I3" s="17" t="s">
        <v>36</v>
      </c>
      <c r="J3" s="17">
        <v>234</v>
      </c>
    </row>
    <row r="4" spans="1:10">
      <c r="C4" s="13" t="s">
        <v>0</v>
      </c>
      <c r="D4" s="42" t="s">
        <v>14</v>
      </c>
      <c r="E4" s="42"/>
      <c r="H4" s="17" t="s">
        <v>21</v>
      </c>
      <c r="I4" s="3" t="s">
        <v>37</v>
      </c>
      <c r="J4" s="3">
        <v>234</v>
      </c>
    </row>
    <row r="5" spans="1:10">
      <c r="C5" s="13" t="s">
        <v>9</v>
      </c>
      <c r="D5" s="43" t="s">
        <v>13</v>
      </c>
      <c r="E5" s="43"/>
      <c r="H5" s="17" t="s">
        <v>22</v>
      </c>
      <c r="I5" s="3" t="s">
        <v>34</v>
      </c>
      <c r="J5" s="3">
        <v>234</v>
      </c>
    </row>
    <row r="6" spans="1:10">
      <c r="B6" s="8"/>
      <c r="C6" s="9" t="s">
        <v>2</v>
      </c>
      <c r="D6" s="39" t="s">
        <v>36</v>
      </c>
      <c r="E6" s="39"/>
    </row>
    <row r="7" spans="1:10">
      <c r="C7" s="9" t="s">
        <v>1</v>
      </c>
      <c r="D7" s="39" t="s">
        <v>35</v>
      </c>
      <c r="E7" s="39"/>
    </row>
    <row r="9" spans="1:10">
      <c r="B9" s="10" t="s">
        <v>4</v>
      </c>
      <c r="C9" s="10" t="s">
        <v>5</v>
      </c>
      <c r="D9" s="10" t="s">
        <v>6</v>
      </c>
      <c r="E9" s="14" t="s">
        <v>7</v>
      </c>
    </row>
    <row r="10" spans="1:10" ht="30">
      <c r="B10" s="22">
        <v>1</v>
      </c>
      <c r="C10" s="23" t="s">
        <v>38</v>
      </c>
      <c r="D10" s="23" t="s">
        <v>52</v>
      </c>
      <c r="E10" s="24" t="s">
        <v>39</v>
      </c>
    </row>
    <row r="11" spans="1:10" ht="30">
      <c r="B11" s="25">
        <v>2</v>
      </c>
      <c r="C11" s="26" t="s">
        <v>40</v>
      </c>
      <c r="D11" s="26" t="s">
        <v>51</v>
      </c>
      <c r="E11" s="27" t="s">
        <v>41</v>
      </c>
    </row>
    <row r="12" spans="1:10" ht="30">
      <c r="B12" s="25">
        <v>3</v>
      </c>
      <c r="C12" s="26" t="s">
        <v>40</v>
      </c>
      <c r="D12" s="26" t="s">
        <v>56</v>
      </c>
      <c r="E12" s="27" t="s">
        <v>57</v>
      </c>
    </row>
    <row r="13" spans="1:10" ht="30">
      <c r="B13" s="3">
        <v>4</v>
      </c>
      <c r="C13" s="1" t="s">
        <v>42</v>
      </c>
      <c r="D13" s="1" t="s">
        <v>59</v>
      </c>
      <c r="E13" s="2" t="s">
        <v>63</v>
      </c>
    </row>
    <row r="14" spans="1:10" customFormat="1">
      <c r="B14" s="28">
        <f>B13+1</f>
        <v>5</v>
      </c>
      <c r="C14" s="30" t="s">
        <v>65</v>
      </c>
      <c r="D14" s="30" t="s">
        <v>66</v>
      </c>
      <c r="E14" s="29" t="s">
        <v>68</v>
      </c>
    </row>
    <row r="15" spans="1:10">
      <c r="B15" s="3">
        <f>B14+1</f>
        <v>6</v>
      </c>
      <c r="C15" s="1" t="s">
        <v>96</v>
      </c>
      <c r="D15" s="1" t="s">
        <v>98</v>
      </c>
      <c r="E15" s="2" t="s">
        <v>97</v>
      </c>
    </row>
    <row r="16" spans="1:10">
      <c r="B16" s="3">
        <f t="shared" ref="B16:B23" si="0">B15+1</f>
        <v>7</v>
      </c>
      <c r="C16" s="3"/>
      <c r="D16" s="3"/>
      <c r="E16" s="15"/>
    </row>
    <row r="17" spans="2:5">
      <c r="B17" s="3">
        <f t="shared" si="0"/>
        <v>8</v>
      </c>
      <c r="C17" s="3"/>
      <c r="D17" s="3"/>
      <c r="E17" s="15"/>
    </row>
    <row r="18" spans="2:5">
      <c r="B18" s="3">
        <f t="shared" si="0"/>
        <v>9</v>
      </c>
      <c r="C18" s="3"/>
      <c r="D18" s="3"/>
      <c r="E18" s="15"/>
    </row>
    <row r="19" spans="2:5">
      <c r="B19" s="3">
        <f t="shared" si="0"/>
        <v>10</v>
      </c>
      <c r="C19" s="3"/>
      <c r="D19" s="3"/>
      <c r="E19" s="15"/>
    </row>
    <row r="20" spans="2:5">
      <c r="B20" s="3">
        <f t="shared" si="0"/>
        <v>11</v>
      </c>
      <c r="C20" s="3"/>
      <c r="D20" s="3"/>
      <c r="E20" s="15"/>
    </row>
    <row r="21" spans="2:5">
      <c r="B21" s="3">
        <f t="shared" si="0"/>
        <v>12</v>
      </c>
      <c r="C21" s="3"/>
      <c r="D21" s="3"/>
      <c r="E21" s="15"/>
    </row>
    <row r="22" spans="2:5">
      <c r="B22" s="3">
        <f t="shared" si="0"/>
        <v>13</v>
      </c>
      <c r="C22" s="3"/>
      <c r="D22" s="3"/>
      <c r="E22" s="15"/>
    </row>
    <row r="23" spans="2:5">
      <c r="B23" s="3">
        <f t="shared" si="0"/>
        <v>14</v>
      </c>
      <c r="C23" s="3"/>
      <c r="D23" s="3"/>
      <c r="E23" s="15"/>
    </row>
    <row r="25" spans="2:5">
      <c r="C25" s="11" t="s">
        <v>8</v>
      </c>
      <c r="D25" s="12"/>
      <c r="E25" s="1" t="s">
        <v>99</v>
      </c>
    </row>
  </sheetData>
  <mergeCells count="6">
    <mergeCell ref="D7:E7"/>
    <mergeCell ref="H1:J1"/>
    <mergeCell ref="B2:E2"/>
    <mergeCell ref="D4:E4"/>
    <mergeCell ref="D6:E6"/>
    <mergeCell ref="D5:E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28"/>
  <sheetViews>
    <sheetView topLeftCell="A9" workbookViewId="0">
      <selection activeCell="C37" sqref="C37"/>
    </sheetView>
  </sheetViews>
  <sheetFormatPr defaultColWidth="8.85546875" defaultRowHeight="15"/>
  <cols>
    <col min="1" max="1" width="8.85546875" style="6"/>
    <col min="2" max="2" width="12.28515625" style="6" customWidth="1"/>
    <col min="3" max="4" width="16.28515625" style="6" customWidth="1"/>
    <col min="5" max="5" width="41.42578125" style="6" customWidth="1"/>
    <col min="6" max="8" width="8.85546875" style="6"/>
    <col min="9" max="9" width="22.140625" style="6" customWidth="1"/>
    <col min="10" max="16384" width="8.85546875" style="6"/>
  </cols>
  <sheetData>
    <row r="1" spans="1:10" ht="15.75">
      <c r="A1" s="4"/>
      <c r="B1" s="5" t="s">
        <v>3</v>
      </c>
      <c r="H1" s="40" t="s">
        <v>23</v>
      </c>
      <c r="I1" s="40"/>
      <c r="J1" s="40"/>
    </row>
    <row r="2" spans="1:10">
      <c r="B2" s="41" t="s">
        <v>18</v>
      </c>
      <c r="C2" s="41"/>
      <c r="D2" s="41"/>
      <c r="E2" s="41"/>
      <c r="H2" s="3"/>
      <c r="I2" s="19" t="s">
        <v>30</v>
      </c>
      <c r="J2" s="17" t="s">
        <v>24</v>
      </c>
    </row>
    <row r="3" spans="1:10">
      <c r="H3" s="17" t="s">
        <v>20</v>
      </c>
      <c r="I3" s="17" t="s">
        <v>37</v>
      </c>
      <c r="J3" s="17">
        <v>234</v>
      </c>
    </row>
    <row r="4" spans="1:10">
      <c r="C4" s="7" t="s">
        <v>0</v>
      </c>
      <c r="D4" s="44" t="s">
        <v>15</v>
      </c>
      <c r="E4" s="44"/>
      <c r="H4" s="17" t="s">
        <v>21</v>
      </c>
      <c r="I4" s="3" t="s">
        <v>34</v>
      </c>
      <c r="J4" s="28">
        <v>234</v>
      </c>
    </row>
    <row r="5" spans="1:10">
      <c r="C5" s="7" t="s">
        <v>10</v>
      </c>
      <c r="D5" s="45" t="s">
        <v>12</v>
      </c>
      <c r="E5" s="46"/>
      <c r="H5" s="17" t="s">
        <v>22</v>
      </c>
      <c r="I5" s="3" t="s">
        <v>36</v>
      </c>
      <c r="J5" s="28">
        <v>234</v>
      </c>
    </row>
    <row r="6" spans="1:10">
      <c r="B6" s="8"/>
      <c r="C6" s="9" t="s">
        <v>2</v>
      </c>
      <c r="D6" s="39" t="s">
        <v>37</v>
      </c>
      <c r="E6" s="39"/>
    </row>
    <row r="7" spans="1:10">
      <c r="C7" s="9" t="s">
        <v>1</v>
      </c>
      <c r="D7" s="39" t="s">
        <v>35</v>
      </c>
      <c r="E7" s="39"/>
    </row>
    <row r="9" spans="1:10">
      <c r="B9" s="10" t="s">
        <v>4</v>
      </c>
      <c r="C9" s="10" t="s">
        <v>5</v>
      </c>
      <c r="D9" s="10" t="s">
        <v>6</v>
      </c>
      <c r="E9" s="10" t="s">
        <v>7</v>
      </c>
    </row>
    <row r="10" spans="1:10" ht="165">
      <c r="B10" s="3">
        <v>1</v>
      </c>
      <c r="C10" s="1" t="s">
        <v>49</v>
      </c>
      <c r="D10" s="2" t="s">
        <v>72</v>
      </c>
      <c r="E10" s="32" t="s">
        <v>53</v>
      </c>
    </row>
    <row r="11" spans="1:10" ht="105">
      <c r="B11" s="3">
        <f>B10+1</f>
        <v>2</v>
      </c>
      <c r="C11" s="31" t="s">
        <v>50</v>
      </c>
      <c r="D11" s="2" t="s">
        <v>75</v>
      </c>
      <c r="E11" s="36" t="s">
        <v>55</v>
      </c>
    </row>
    <row r="12" spans="1:10" ht="75">
      <c r="B12" s="3">
        <f t="shared" ref="B12:B26" si="0">B11+1</f>
        <v>3</v>
      </c>
      <c r="C12" s="1" t="s">
        <v>77</v>
      </c>
      <c r="D12" s="34" t="s">
        <v>84</v>
      </c>
      <c r="E12" s="32" t="s">
        <v>82</v>
      </c>
    </row>
    <row r="13" spans="1:10" ht="120">
      <c r="B13" s="3">
        <f t="shared" si="0"/>
        <v>4</v>
      </c>
      <c r="C13" s="1" t="s">
        <v>87</v>
      </c>
      <c r="D13" s="34" t="s">
        <v>94</v>
      </c>
      <c r="E13" s="32" t="s">
        <v>93</v>
      </c>
    </row>
    <row r="14" spans="1:10">
      <c r="B14" s="3">
        <f t="shared" si="0"/>
        <v>5</v>
      </c>
      <c r="C14" s="1"/>
      <c r="D14" s="35"/>
      <c r="E14" s="38"/>
    </row>
    <row r="15" spans="1:10">
      <c r="B15" s="3">
        <f t="shared" si="0"/>
        <v>6</v>
      </c>
      <c r="C15" s="1"/>
      <c r="D15" s="34"/>
      <c r="E15" s="38"/>
    </row>
    <row r="16" spans="1:10">
      <c r="B16" s="3">
        <f t="shared" si="0"/>
        <v>7</v>
      </c>
      <c r="C16" s="1"/>
      <c r="D16" s="35"/>
      <c r="E16" s="38"/>
    </row>
    <row r="17" spans="2:5">
      <c r="B17" s="3">
        <f t="shared" si="0"/>
        <v>8</v>
      </c>
      <c r="C17" s="1"/>
      <c r="D17" s="35"/>
      <c r="E17" s="38"/>
    </row>
    <row r="18" spans="2:5">
      <c r="B18" s="3">
        <f t="shared" si="0"/>
        <v>9</v>
      </c>
      <c r="C18" s="1"/>
      <c r="D18" s="1"/>
      <c r="E18" s="37"/>
    </row>
    <row r="19" spans="2:5">
      <c r="B19" s="3">
        <f t="shared" si="0"/>
        <v>10</v>
      </c>
      <c r="C19" s="1"/>
      <c r="D19" s="2"/>
      <c r="E19" s="2"/>
    </row>
    <row r="20" spans="2:5">
      <c r="B20" s="3">
        <f t="shared" si="0"/>
        <v>11</v>
      </c>
      <c r="C20" s="1"/>
      <c r="D20" s="1"/>
      <c r="E20" s="2"/>
    </row>
    <row r="21" spans="2:5">
      <c r="B21" s="3">
        <f t="shared" si="0"/>
        <v>12</v>
      </c>
      <c r="C21" s="1"/>
      <c r="D21" s="1"/>
      <c r="E21" s="2"/>
    </row>
    <row r="22" spans="2:5">
      <c r="B22" s="3">
        <f t="shared" si="0"/>
        <v>13</v>
      </c>
      <c r="C22" s="1"/>
      <c r="D22" s="1"/>
      <c r="E22" s="2"/>
    </row>
    <row r="23" spans="2:5">
      <c r="B23" s="3">
        <f t="shared" si="0"/>
        <v>14</v>
      </c>
      <c r="C23" s="1"/>
      <c r="D23" s="1"/>
      <c r="E23" s="2"/>
    </row>
    <row r="24" spans="2:5">
      <c r="B24" s="3">
        <f t="shared" si="0"/>
        <v>15</v>
      </c>
      <c r="C24" s="1"/>
      <c r="D24" s="1"/>
      <c r="E24" s="2"/>
    </row>
    <row r="25" spans="2:5">
      <c r="B25" s="3">
        <f t="shared" si="0"/>
        <v>16</v>
      </c>
      <c r="C25" s="1"/>
      <c r="D25" s="1"/>
      <c r="E25" s="2"/>
    </row>
    <row r="26" spans="2:5">
      <c r="B26" s="3">
        <f t="shared" si="0"/>
        <v>17</v>
      </c>
      <c r="C26" s="1"/>
      <c r="D26" s="1"/>
      <c r="E26" s="2"/>
    </row>
    <row r="28" spans="2:5">
      <c r="C28" s="11" t="s">
        <v>8</v>
      </c>
      <c r="D28" s="12"/>
      <c r="E28" s="1">
        <v>0.5</v>
      </c>
    </row>
  </sheetData>
  <mergeCells count="6">
    <mergeCell ref="H1:J1"/>
    <mergeCell ref="B2:E2"/>
    <mergeCell ref="D4:E4"/>
    <mergeCell ref="D6:E6"/>
    <mergeCell ref="D7:E7"/>
    <mergeCell ref="D5:E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J32"/>
  <sheetViews>
    <sheetView topLeftCell="A9" workbookViewId="0">
      <selection activeCell="E12" sqref="E12"/>
    </sheetView>
  </sheetViews>
  <sheetFormatPr defaultColWidth="8.85546875" defaultRowHeight="15"/>
  <cols>
    <col min="1" max="1" width="8.85546875" style="6"/>
    <col min="2" max="2" width="12.28515625" style="6" customWidth="1"/>
    <col min="3" max="3" width="54.28515625" style="6" bestFit="1" customWidth="1"/>
    <col min="4" max="4" width="18" style="6" customWidth="1"/>
    <col min="5" max="5" width="41.42578125" style="6" customWidth="1"/>
    <col min="6" max="8" width="8.85546875" style="6"/>
    <col min="9" max="9" width="26.7109375" style="6" customWidth="1"/>
    <col min="10" max="16384" width="8.85546875" style="6"/>
  </cols>
  <sheetData>
    <row r="1" spans="1:10" ht="15.75">
      <c r="A1" s="4"/>
      <c r="B1" s="5" t="s">
        <v>3</v>
      </c>
      <c r="H1" s="40" t="s">
        <v>23</v>
      </c>
      <c r="I1" s="40"/>
      <c r="J1" s="40"/>
    </row>
    <row r="2" spans="1:10">
      <c r="B2" s="41" t="s">
        <v>17</v>
      </c>
      <c r="C2" s="41"/>
      <c r="D2" s="41"/>
      <c r="E2" s="41"/>
      <c r="H2" s="3"/>
      <c r="I2" s="19" t="s">
        <v>30</v>
      </c>
      <c r="J2" s="17" t="s">
        <v>24</v>
      </c>
    </row>
    <row r="3" spans="1:10">
      <c r="H3" s="17" t="s">
        <v>20</v>
      </c>
      <c r="I3" s="28" t="s">
        <v>34</v>
      </c>
      <c r="J3" s="17">
        <v>234</v>
      </c>
    </row>
    <row r="4" spans="1:10">
      <c r="C4" s="16" t="s">
        <v>0</v>
      </c>
      <c r="D4" s="47" t="s">
        <v>16</v>
      </c>
      <c r="E4" s="47"/>
      <c r="H4" s="17" t="s">
        <v>21</v>
      </c>
      <c r="I4" s="28" t="s">
        <v>46</v>
      </c>
      <c r="J4" s="3">
        <v>234</v>
      </c>
    </row>
    <row r="5" spans="1:10">
      <c r="C5" s="16" t="s">
        <v>9</v>
      </c>
      <c r="D5" s="48" t="s">
        <v>11</v>
      </c>
      <c r="E5" s="49"/>
      <c r="H5" s="17" t="s">
        <v>22</v>
      </c>
      <c r="I5" s="28" t="s">
        <v>36</v>
      </c>
      <c r="J5" s="3">
        <v>234</v>
      </c>
    </row>
    <row r="6" spans="1:10">
      <c r="B6" s="8"/>
      <c r="C6" s="9" t="s">
        <v>2</v>
      </c>
      <c r="D6" s="39" t="s">
        <v>34</v>
      </c>
      <c r="E6" s="39"/>
    </row>
    <row r="7" spans="1:10">
      <c r="C7" s="9" t="s">
        <v>1</v>
      </c>
      <c r="D7" s="39" t="s">
        <v>35</v>
      </c>
      <c r="E7" s="39"/>
    </row>
    <row r="9" spans="1:10">
      <c r="B9" s="10" t="s">
        <v>4</v>
      </c>
      <c r="C9" s="10" t="s">
        <v>5</v>
      </c>
      <c r="D9" s="10" t="s">
        <v>6</v>
      </c>
      <c r="E9" s="10" t="s">
        <v>7</v>
      </c>
    </row>
    <row r="10" spans="1:10" ht="30">
      <c r="B10" s="3">
        <v>1</v>
      </c>
      <c r="C10" s="1" t="s">
        <v>43</v>
      </c>
      <c r="D10" s="2" t="s">
        <v>61</v>
      </c>
      <c r="E10" s="52" t="s">
        <v>100</v>
      </c>
    </row>
    <row r="11" spans="1:10" ht="30">
      <c r="B11" s="3">
        <f>B10+1</f>
        <v>2</v>
      </c>
      <c r="C11" s="1" t="s">
        <v>107</v>
      </c>
      <c r="D11" s="1" t="s">
        <v>108</v>
      </c>
      <c r="E11" s="2" t="s">
        <v>109</v>
      </c>
    </row>
    <row r="12" spans="1:10">
      <c r="B12" s="3">
        <f t="shared" ref="B12:B30" si="0">B11+1</f>
        <v>3</v>
      </c>
      <c r="C12" s="1" t="s">
        <v>110</v>
      </c>
      <c r="D12" s="1"/>
      <c r="E12" s="2" t="s">
        <v>111</v>
      </c>
    </row>
    <row r="13" spans="1:10" ht="90">
      <c r="B13" s="3">
        <f t="shared" si="0"/>
        <v>4</v>
      </c>
      <c r="C13" s="1" t="s">
        <v>44</v>
      </c>
      <c r="D13" s="2" t="s">
        <v>62</v>
      </c>
      <c r="E13" s="2" t="s">
        <v>58</v>
      </c>
    </row>
    <row r="14" spans="1:10" ht="75">
      <c r="B14" s="3">
        <f t="shared" si="0"/>
        <v>5</v>
      </c>
      <c r="C14" s="1" t="s">
        <v>45</v>
      </c>
      <c r="D14" s="2" t="s">
        <v>64</v>
      </c>
      <c r="E14" s="2" t="s">
        <v>60</v>
      </c>
    </row>
    <row r="15" spans="1:10">
      <c r="B15" s="3">
        <f t="shared" si="0"/>
        <v>6</v>
      </c>
      <c r="C15" s="1" t="s">
        <v>101</v>
      </c>
      <c r="D15" s="2"/>
      <c r="E15" s="2" t="s">
        <v>102</v>
      </c>
    </row>
    <row r="16" spans="1:10">
      <c r="B16" s="3">
        <f t="shared" si="0"/>
        <v>7</v>
      </c>
      <c r="C16" s="1" t="s">
        <v>103</v>
      </c>
      <c r="D16" s="2"/>
      <c r="E16" s="2" t="s">
        <v>104</v>
      </c>
    </row>
    <row r="17" spans="2:5" ht="45">
      <c r="B17" s="3">
        <f t="shared" si="0"/>
        <v>8</v>
      </c>
      <c r="C17" s="1" t="s">
        <v>105</v>
      </c>
      <c r="D17" s="2"/>
      <c r="E17" s="2" t="s">
        <v>106</v>
      </c>
    </row>
    <row r="18" spans="2:5">
      <c r="B18" s="3">
        <f t="shared" si="0"/>
        <v>9</v>
      </c>
      <c r="C18" s="1"/>
      <c r="D18" s="2"/>
      <c r="E18" s="2"/>
    </row>
    <row r="19" spans="2:5">
      <c r="B19" s="3">
        <f t="shared" si="0"/>
        <v>10</v>
      </c>
      <c r="C19" s="1"/>
      <c r="D19" s="1"/>
      <c r="E19" s="2"/>
    </row>
    <row r="20" spans="2:5">
      <c r="B20" s="3">
        <f t="shared" si="0"/>
        <v>11</v>
      </c>
      <c r="C20" s="1"/>
      <c r="D20" s="2"/>
      <c r="E20" s="2"/>
    </row>
    <row r="21" spans="2:5">
      <c r="B21" s="3">
        <f t="shared" si="0"/>
        <v>12</v>
      </c>
      <c r="C21" s="1"/>
      <c r="D21" s="1"/>
      <c r="E21" s="2"/>
    </row>
    <row r="22" spans="2:5">
      <c r="B22" s="3">
        <f t="shared" si="0"/>
        <v>13</v>
      </c>
      <c r="C22" s="1"/>
      <c r="D22" s="2"/>
      <c r="E22" s="2"/>
    </row>
    <row r="23" spans="2:5">
      <c r="B23" s="3">
        <f t="shared" si="0"/>
        <v>14</v>
      </c>
      <c r="C23" s="1"/>
      <c r="D23" s="2"/>
      <c r="E23" s="2"/>
    </row>
    <row r="24" spans="2:5">
      <c r="B24" s="3">
        <f t="shared" si="0"/>
        <v>15</v>
      </c>
      <c r="C24" s="1"/>
      <c r="D24" s="2"/>
      <c r="E24" s="2"/>
    </row>
    <row r="25" spans="2:5">
      <c r="B25" s="3">
        <f t="shared" si="0"/>
        <v>16</v>
      </c>
      <c r="C25" s="1"/>
      <c r="D25" s="2"/>
      <c r="E25" s="2"/>
    </row>
    <row r="26" spans="2:5">
      <c r="B26" s="3">
        <f t="shared" si="0"/>
        <v>17</v>
      </c>
      <c r="C26" s="1"/>
      <c r="D26" s="1"/>
      <c r="E26" s="2"/>
    </row>
    <row r="27" spans="2:5">
      <c r="B27" s="3">
        <f t="shared" si="0"/>
        <v>18</v>
      </c>
      <c r="C27" s="1"/>
      <c r="D27" s="2"/>
      <c r="E27" s="1"/>
    </row>
    <row r="28" spans="2:5">
      <c r="B28" s="3">
        <f t="shared" si="0"/>
        <v>19</v>
      </c>
      <c r="C28" s="1"/>
      <c r="D28" s="2"/>
      <c r="E28" s="2"/>
    </row>
    <row r="29" spans="2:5">
      <c r="B29" s="3">
        <f t="shared" si="0"/>
        <v>20</v>
      </c>
      <c r="C29" s="1"/>
      <c r="D29" s="2"/>
      <c r="E29" s="2"/>
    </row>
    <row r="30" spans="2:5">
      <c r="B30" s="3">
        <f t="shared" si="0"/>
        <v>21</v>
      </c>
      <c r="C30" s="1"/>
      <c r="D30" s="2"/>
      <c r="E30" s="2"/>
    </row>
    <row r="32" spans="2:5">
      <c r="C32" s="11" t="s">
        <v>8</v>
      </c>
      <c r="D32" s="12"/>
      <c r="E32" s="1" t="s">
        <v>47</v>
      </c>
    </row>
  </sheetData>
  <mergeCells count="6">
    <mergeCell ref="D7:E7"/>
    <mergeCell ref="H1:J1"/>
    <mergeCell ref="D4:E4"/>
    <mergeCell ref="D6:E6"/>
    <mergeCell ref="B2:E2"/>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J35"/>
  <sheetViews>
    <sheetView tabSelected="1" workbookViewId="0">
      <selection activeCell="L12" sqref="L12"/>
    </sheetView>
  </sheetViews>
  <sheetFormatPr defaultColWidth="8.85546875" defaultRowHeight="15"/>
  <cols>
    <col min="1" max="1" width="8.85546875" style="6"/>
    <col min="2" max="2" width="12.28515625" style="6" customWidth="1"/>
    <col min="3" max="3" width="18.28515625" style="6" bestFit="1" customWidth="1"/>
    <col min="4" max="4" width="74.140625" style="6" bestFit="1" customWidth="1"/>
    <col min="5" max="5" width="23.85546875" style="6" customWidth="1"/>
    <col min="6" max="6" width="16.5703125" style="6" customWidth="1"/>
    <col min="7" max="8" width="8.85546875" style="6"/>
    <col min="9" max="9" width="26.7109375" style="6" customWidth="1"/>
    <col min="10" max="16384" width="8.85546875" style="6"/>
  </cols>
  <sheetData>
    <row r="1" spans="1:10" ht="15.75">
      <c r="A1" s="4"/>
      <c r="B1" s="5" t="s">
        <v>3</v>
      </c>
      <c r="H1" s="40" t="s">
        <v>23</v>
      </c>
      <c r="I1" s="40"/>
      <c r="J1" s="40"/>
    </row>
    <row r="2" spans="1:10">
      <c r="B2" s="41" t="s">
        <v>31</v>
      </c>
      <c r="C2" s="41"/>
      <c r="D2" s="41"/>
      <c r="E2" s="41"/>
      <c r="H2" s="3"/>
      <c r="I2" s="19" t="s">
        <v>30</v>
      </c>
      <c r="J2" s="17" t="s">
        <v>24</v>
      </c>
    </row>
    <row r="3" spans="1:10">
      <c r="H3" s="17" t="s">
        <v>20</v>
      </c>
      <c r="I3" s="28" t="s">
        <v>34</v>
      </c>
      <c r="J3" s="17">
        <v>234</v>
      </c>
    </row>
    <row r="4" spans="1:10">
      <c r="C4" s="16" t="s">
        <v>25</v>
      </c>
      <c r="D4" s="47" t="s">
        <v>33</v>
      </c>
      <c r="E4" s="47"/>
      <c r="H4" s="17" t="s">
        <v>21</v>
      </c>
      <c r="I4" s="28" t="s">
        <v>37</v>
      </c>
      <c r="J4" s="3">
        <v>234</v>
      </c>
    </row>
    <row r="5" spans="1:10">
      <c r="C5" s="9" t="s">
        <v>2</v>
      </c>
      <c r="D5" s="39" t="s">
        <v>48</v>
      </c>
      <c r="E5" s="39"/>
      <c r="H5" s="17" t="s">
        <v>22</v>
      </c>
      <c r="I5" s="28" t="s">
        <v>36</v>
      </c>
      <c r="J5" s="3">
        <v>234</v>
      </c>
    </row>
    <row r="6" spans="1:10">
      <c r="B6" s="8"/>
      <c r="C6" s="9" t="s">
        <v>1</v>
      </c>
      <c r="D6" s="39" t="s">
        <v>35</v>
      </c>
      <c r="E6" s="39"/>
      <c r="F6" s="20"/>
    </row>
    <row r="9" spans="1:10">
      <c r="B9" s="10" t="s">
        <v>4</v>
      </c>
      <c r="C9" s="10" t="s">
        <v>28</v>
      </c>
      <c r="D9" s="10" t="s">
        <v>27</v>
      </c>
      <c r="E9" s="10" t="s">
        <v>26</v>
      </c>
      <c r="F9" s="10" t="s">
        <v>29</v>
      </c>
    </row>
    <row r="10" spans="1:10" ht="105">
      <c r="B10" s="3">
        <v>1</v>
      </c>
      <c r="C10" s="1" t="s">
        <v>67</v>
      </c>
      <c r="D10" s="2" t="s">
        <v>69</v>
      </c>
      <c r="E10" s="2" t="s">
        <v>70</v>
      </c>
      <c r="F10" s="2" t="s">
        <v>71</v>
      </c>
    </row>
    <row r="11" spans="1:10">
      <c r="B11" s="3">
        <f>B10+1</f>
        <v>2</v>
      </c>
      <c r="C11" s="1" t="s">
        <v>73</v>
      </c>
      <c r="D11" s="1" t="s">
        <v>74</v>
      </c>
      <c r="E11" s="33" t="s">
        <v>76</v>
      </c>
      <c r="F11" s="2"/>
    </row>
    <row r="12" spans="1:10" ht="135">
      <c r="B12" s="3">
        <f t="shared" ref="B12:B30" si="0">B11+1</f>
        <v>3</v>
      </c>
      <c r="C12" s="1" t="s">
        <v>78</v>
      </c>
      <c r="D12" s="1" t="s">
        <v>79</v>
      </c>
      <c r="E12" s="2" t="s">
        <v>80</v>
      </c>
      <c r="F12" s="2" t="s">
        <v>81</v>
      </c>
    </row>
    <row r="13" spans="1:10" ht="45">
      <c r="B13" s="3">
        <f t="shared" si="0"/>
        <v>4</v>
      </c>
      <c r="C13" s="1" t="s">
        <v>83</v>
      </c>
      <c r="D13" s="2" t="s">
        <v>69</v>
      </c>
      <c r="E13" s="2" t="s">
        <v>85</v>
      </c>
      <c r="F13" s="2" t="s">
        <v>86</v>
      </c>
    </row>
    <row r="14" spans="1:10" ht="30">
      <c r="B14" s="3">
        <f t="shared" si="0"/>
        <v>5</v>
      </c>
      <c r="C14" s="1" t="s">
        <v>88</v>
      </c>
      <c r="D14" s="2" t="s">
        <v>90</v>
      </c>
      <c r="E14" s="2" t="s">
        <v>92</v>
      </c>
      <c r="F14" s="2" t="s">
        <v>95</v>
      </c>
    </row>
    <row r="15" spans="1:10" ht="30">
      <c r="B15" s="3">
        <f t="shared" si="0"/>
        <v>6</v>
      </c>
      <c r="C15" s="1" t="s">
        <v>89</v>
      </c>
      <c r="D15" s="2" t="s">
        <v>91</v>
      </c>
      <c r="E15" s="2" t="s">
        <v>92</v>
      </c>
      <c r="F15" s="2" t="s">
        <v>95</v>
      </c>
    </row>
    <row r="16" spans="1:10">
      <c r="B16" s="3">
        <f t="shared" si="0"/>
        <v>7</v>
      </c>
      <c r="C16" s="1"/>
      <c r="D16" s="2"/>
      <c r="E16" s="2"/>
      <c r="F16" s="2"/>
    </row>
    <row r="17" spans="2:6">
      <c r="B17" s="3">
        <f t="shared" si="0"/>
        <v>8</v>
      </c>
      <c r="C17" s="1"/>
      <c r="D17" s="2"/>
      <c r="E17" s="2"/>
      <c r="F17" s="2"/>
    </row>
    <row r="18" spans="2:6">
      <c r="B18" s="3">
        <f t="shared" si="0"/>
        <v>9</v>
      </c>
      <c r="C18" s="1"/>
      <c r="D18" s="2"/>
      <c r="E18" s="2"/>
      <c r="F18" s="2"/>
    </row>
    <row r="19" spans="2:6">
      <c r="B19" s="3">
        <f t="shared" si="0"/>
        <v>10</v>
      </c>
      <c r="C19" s="1"/>
      <c r="D19" s="1"/>
      <c r="E19" s="2"/>
      <c r="F19" s="2"/>
    </row>
    <row r="20" spans="2:6">
      <c r="B20" s="3">
        <f t="shared" si="0"/>
        <v>11</v>
      </c>
      <c r="C20" s="1"/>
      <c r="D20" s="2"/>
      <c r="E20" s="2"/>
      <c r="F20" s="2"/>
    </row>
    <row r="21" spans="2:6">
      <c r="B21" s="3">
        <f t="shared" si="0"/>
        <v>12</v>
      </c>
      <c r="C21" s="1"/>
      <c r="D21" s="1"/>
      <c r="E21" s="2"/>
      <c r="F21" s="2"/>
    </row>
    <row r="22" spans="2:6">
      <c r="B22" s="3">
        <f t="shared" si="0"/>
        <v>13</v>
      </c>
      <c r="C22" s="1"/>
      <c r="D22" s="2"/>
      <c r="E22" s="2"/>
      <c r="F22" s="2"/>
    </row>
    <row r="23" spans="2:6">
      <c r="B23" s="3">
        <f t="shared" si="0"/>
        <v>14</v>
      </c>
      <c r="C23" s="1"/>
      <c r="D23" s="2"/>
      <c r="E23" s="2"/>
      <c r="F23" s="2"/>
    </row>
    <row r="24" spans="2:6">
      <c r="B24" s="3">
        <f t="shared" si="0"/>
        <v>15</v>
      </c>
      <c r="C24" s="1"/>
      <c r="D24" s="2"/>
      <c r="E24" s="2"/>
      <c r="F24" s="2"/>
    </row>
    <row r="25" spans="2:6">
      <c r="B25" s="3">
        <f t="shared" si="0"/>
        <v>16</v>
      </c>
      <c r="C25" s="1"/>
      <c r="D25" s="2"/>
      <c r="E25" s="2"/>
      <c r="F25" s="2"/>
    </row>
    <row r="26" spans="2:6">
      <c r="B26" s="3">
        <f t="shared" si="0"/>
        <v>17</v>
      </c>
      <c r="C26" s="1"/>
      <c r="D26" s="1"/>
      <c r="E26" s="2"/>
      <c r="F26" s="2"/>
    </row>
    <row r="27" spans="2:6">
      <c r="B27" s="3">
        <f t="shared" si="0"/>
        <v>18</v>
      </c>
      <c r="C27" s="1"/>
      <c r="D27" s="2"/>
      <c r="E27" s="1"/>
      <c r="F27" s="1"/>
    </row>
    <row r="28" spans="2:6">
      <c r="B28" s="3">
        <f t="shared" si="0"/>
        <v>19</v>
      </c>
      <c r="C28" s="1"/>
      <c r="D28" s="2"/>
      <c r="E28" s="2"/>
      <c r="F28" s="2"/>
    </row>
    <row r="29" spans="2:6">
      <c r="B29" s="3">
        <f t="shared" si="0"/>
        <v>20</v>
      </c>
      <c r="C29" s="1"/>
      <c r="D29" s="2"/>
      <c r="E29" s="2"/>
      <c r="F29" s="2"/>
    </row>
    <row r="30" spans="2:6">
      <c r="B30" s="3">
        <f t="shared" si="0"/>
        <v>21</v>
      </c>
      <c r="C30" s="1"/>
      <c r="D30" s="2"/>
      <c r="E30" s="2"/>
      <c r="F30" s="2"/>
    </row>
    <row r="32" spans="2:6">
      <c r="C32" s="50" t="s">
        <v>32</v>
      </c>
      <c r="D32" s="51"/>
      <c r="E32" s="51"/>
      <c r="F32" s="18" t="s">
        <v>54</v>
      </c>
    </row>
    <row r="35" spans="6:6">
      <c r="F35" s="21"/>
    </row>
  </sheetData>
  <mergeCells count="6">
    <mergeCell ref="C32:E32"/>
    <mergeCell ref="H1:J1"/>
    <mergeCell ref="B2:E2"/>
    <mergeCell ref="D4:E4"/>
    <mergeCell ref="D5:E5"/>
    <mergeCell ref="D6:E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 Phase Defects</vt:lpstr>
      <vt:lpstr>Architect. Design Phase Defects</vt:lpstr>
      <vt:lpstr>Coding Phase Defects</vt:lpstr>
      <vt:lpstr>Tool-basedCodeAnalysis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Andreea</dc:creator>
  <cp:lastModifiedBy>Vlad Mutu</cp:lastModifiedBy>
  <dcterms:created xsi:type="dcterms:W3CDTF">2015-02-21T15:59:19Z</dcterms:created>
  <dcterms:modified xsi:type="dcterms:W3CDTF">2026-03-15T09:50:58Z</dcterms:modified>
</cp:coreProperties>
</file>